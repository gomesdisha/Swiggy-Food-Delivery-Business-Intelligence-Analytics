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Business Review" sheetId="2" state="visible" r:id="rId2"/>
    <sheet xmlns:r="http://schemas.openxmlformats.org/officeDocument/2006/relationships" name="Commission &amp; Unit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 #,##0"/>
    <numFmt numFmtId="165" formatCode="₹ #,##0.0"/>
    <numFmt numFmtId="166" formatCode="0.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B5563"/>
      <sz val="10"/>
    </font>
    <font>
      <name val="Segoe UI"/>
      <b val="1"/>
      <color rgb="001F2937"/>
      <sz val="16"/>
    </font>
    <font>
      <name val="Segoe UI"/>
      <b val="1"/>
      <color rgb="001F2937"/>
      <sz val="12"/>
    </font>
    <font>
      <name val="Segoe UI"/>
      <b val="1"/>
      <color rgb="00FFFFFF"/>
      <sz val="10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i val="1"/>
      <color rgb="004B5563"/>
      <sz val="9"/>
    </font>
  </fonts>
  <fills count="7">
    <fill>
      <patternFill/>
    </fill>
    <fill>
      <patternFill patternType="gray125"/>
    </fill>
    <fill>
      <patternFill patternType="solid">
        <fgColor rgb="00FC8019"/>
        <bgColor rgb="00FC8019"/>
      </patternFill>
    </fill>
    <fill>
      <patternFill patternType="solid">
        <fgColor rgb="00FFF4E8"/>
        <bgColor rgb="00FFF4E8"/>
      </patternFill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6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7" fontId="6" fillId="5" borderId="1" pivotButton="0" quotePrefix="0" xfId="0"/>
    <xf numFmtId="167" fontId="6" fillId="0" borderId="1" pivotButton="0" quotePrefix="0" xfId="0"/>
    <xf numFmtId="0" fontId="6" fillId="6" borderId="1" pivotButton="0" quotePrefix="0" xfId="0"/>
    <xf numFmtId="3" fontId="6" fillId="6" borderId="1" pivotButton="0" quotePrefix="0" xfId="0"/>
    <xf numFmtId="164" fontId="6" fillId="6" borderId="1" pivotButton="0" quotePrefix="0" xfId="0"/>
    <xf numFmtId="165" fontId="6" fillId="6" borderId="1" pivotButton="0" quotePrefix="0" xfId="0"/>
    <xf numFmtId="166" fontId="6" fillId="6" borderId="1" pivotButton="0" quotePrefix="0" xfId="0"/>
    <xf numFmtId="0" fontId="6" fillId="6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6" fillId="3" borderId="1" pivotButton="0" quotePrefix="0" xfId="0"/>
    <xf numFmtId="0" fontId="0" fillId="3" borderId="1" applyAlignment="1" pivotButton="0" quotePrefix="0" xfId="0">
      <alignment horizontal="center"/>
    </xf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3" customWidth="1" min="3" max="3"/>
    <col width="12" customWidth="1" min="4" max="4"/>
    <col width="37" customWidth="1" min="5" max="5"/>
    <col width="22" customWidth="1" min="6" max="6"/>
    <col width="31" customWidth="1" min="7" max="7"/>
    <col width="12" customWidth="1" min="8" max="8"/>
  </cols>
  <sheetData>
    <row r="1">
      <c r="A1" s="1" t="inlineStr">
        <is>
          <t>SWIGGY FOOD DELIVERY | EXECUTIVE PERFORMANCE DASHBOARD</t>
        </is>
      </c>
    </row>
    <row r="2"/>
    <row r="3">
      <c r="A3" s="2" t="inlineStr">
        <is>
          <t>Annual Business Review &amp; Marketplace Metrics (FY 2024)</t>
        </is>
      </c>
    </row>
    <row r="4"/>
    <row r="5">
      <c r="A5" s="3" t="inlineStr">
        <is>
          <t>TOTAL GMV (SALES)
₹ 8,647,980</t>
        </is>
      </c>
      <c r="B5" s="4" t="n"/>
      <c r="C5" s="3" t="inlineStr">
        <is>
          <t>TOTAL DELIVERED ORDERS
14,173</t>
        </is>
      </c>
      <c r="D5" s="4" t="n"/>
      <c r="E5" s="3" t="inlineStr">
        <is>
          <t>AVERAGE ORDER VALUE (AOV)
₹ 610.2</t>
        </is>
      </c>
      <c r="F5" s="4" t="n"/>
      <c r="G5" s="3" t="inlineStr">
        <is>
          <t>ACTIVE RESTAURANTS
175</t>
        </is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/>
    <row r="8">
      <c r="A8" s="3" t="inlineStr">
        <is>
          <t>ACTIVE CUSTOMERS
1,000</t>
        </is>
      </c>
      <c r="B8" s="4" t="n"/>
      <c r="C8" s="3" t="inlineStr">
        <is>
          <t>SWIGGY ONE ADOPTION
35.3%</t>
        </is>
      </c>
      <c r="D8" s="4" t="n"/>
      <c r="E8" s="3" t="inlineStr">
        <is>
          <t>ON-TIME DELIVERY RATE
66.1%</t>
        </is>
      </c>
      <c r="F8" s="4" t="n"/>
      <c r="G8" s="3" t="inlineStr">
        <is>
          <t>AVG DELIVERY TIME
32.9 mins</t>
        </is>
      </c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/>
    <row r="12">
      <c r="A12" s="5" t="inlineStr">
        <is>
          <t>Marketplace Performance by City</t>
        </is>
      </c>
    </row>
    <row r="13">
      <c r="A13" s="6" t="inlineStr">
        <is>
          <t>City</t>
        </is>
      </c>
      <c r="B13" s="6" t="inlineStr">
        <is>
          <t>Delivered Orders</t>
        </is>
      </c>
      <c r="C13" s="6" t="inlineStr">
        <is>
          <t>Total GMV (₹)</t>
        </is>
      </c>
      <c r="D13" s="6" t="inlineStr">
        <is>
          <t>AOV (₹)</t>
        </is>
      </c>
      <c r="E13" s="6" t="inlineStr">
        <is>
          <t>Avg Delivery (Mins)</t>
        </is>
      </c>
      <c r="F13" s="6" t="inlineStr">
        <is>
          <t>Active Restaurants</t>
        </is>
      </c>
    </row>
    <row r="14">
      <c r="A14" s="7" t="inlineStr">
        <is>
          <t>Chennai</t>
        </is>
      </c>
      <c r="B14" s="8" t="n">
        <v>2256</v>
      </c>
      <c r="C14" s="9" t="n">
        <v>1371740</v>
      </c>
      <c r="D14" s="10" t="n">
        <v>608</v>
      </c>
      <c r="E14" s="11" t="n">
        <v>33</v>
      </c>
      <c r="F14" s="8" t="n">
        <v>25</v>
      </c>
    </row>
    <row r="15">
      <c r="A15" s="12" t="inlineStr">
        <is>
          <t>Mumbai</t>
        </is>
      </c>
      <c r="B15" s="13" t="n">
        <v>2116</v>
      </c>
      <c r="C15" s="14" t="n">
        <v>1315974</v>
      </c>
      <c r="D15" s="15" t="n">
        <v>621.9</v>
      </c>
      <c r="E15" s="16" t="n">
        <v>32.9</v>
      </c>
      <c r="F15" s="13" t="n">
        <v>25</v>
      </c>
    </row>
    <row r="16">
      <c r="A16" s="7" t="inlineStr">
        <is>
          <t>Pune</t>
        </is>
      </c>
      <c r="B16" s="8" t="n">
        <v>2117</v>
      </c>
      <c r="C16" s="9" t="n">
        <v>1302542</v>
      </c>
      <c r="D16" s="10" t="n">
        <v>615.3</v>
      </c>
      <c r="E16" s="11" t="n">
        <v>32.8</v>
      </c>
      <c r="F16" s="8" t="n">
        <v>25</v>
      </c>
    </row>
    <row r="17">
      <c r="A17" s="12" t="inlineStr">
        <is>
          <t>Kolkata</t>
        </is>
      </c>
      <c r="B17" s="13" t="n">
        <v>2121</v>
      </c>
      <c r="C17" s="14" t="n">
        <v>1292239</v>
      </c>
      <c r="D17" s="15" t="n">
        <v>609.3</v>
      </c>
      <c r="E17" s="16" t="n">
        <v>32.7</v>
      </c>
      <c r="F17" s="13" t="n">
        <v>25</v>
      </c>
    </row>
    <row r="18">
      <c r="A18" s="7" t="inlineStr">
        <is>
          <t>Delhi</t>
        </is>
      </c>
      <c r="B18" s="8" t="n">
        <v>2091</v>
      </c>
      <c r="C18" s="9" t="n">
        <v>1257372</v>
      </c>
      <c r="D18" s="10" t="n">
        <v>601.3</v>
      </c>
      <c r="E18" s="11" t="n">
        <v>32.7</v>
      </c>
      <c r="F18" s="8" t="n">
        <v>25</v>
      </c>
    </row>
    <row r="19">
      <c r="A19" s="12" t="inlineStr">
        <is>
          <t>Hyderabad</t>
        </is>
      </c>
      <c r="B19" s="13" t="n">
        <v>1870</v>
      </c>
      <c r="C19" s="14" t="n">
        <v>1131063</v>
      </c>
      <c r="D19" s="15" t="n">
        <v>604.8</v>
      </c>
      <c r="E19" s="16" t="n">
        <v>33</v>
      </c>
      <c r="F19" s="13" t="n">
        <v>25</v>
      </c>
    </row>
    <row r="20">
      <c r="A20" s="7" t="inlineStr">
        <is>
          <t>Bangalore</t>
        </is>
      </c>
      <c r="B20" s="8" t="n">
        <v>1602</v>
      </c>
      <c r="C20" s="9" t="n">
        <v>977050</v>
      </c>
      <c r="D20" s="10" t="n">
        <v>609.9</v>
      </c>
      <c r="E20" s="11" t="n">
        <v>33</v>
      </c>
      <c r="F20" s="8" t="n">
        <v>25</v>
      </c>
    </row>
  </sheetData>
  <mergeCells count="10">
    <mergeCell ref="C8:D9"/>
    <mergeCell ref="A3:H3"/>
    <mergeCell ref="C5:D6"/>
    <mergeCell ref="A5:B6"/>
    <mergeCell ref="G5:H6"/>
    <mergeCell ref="E5:F6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7" customWidth="1" min="3" max="3"/>
    <col width="20" customWidth="1" min="4" max="4"/>
    <col width="23" customWidth="1" min="5" max="5"/>
    <col width="21" customWidth="1" min="6" max="6"/>
    <col width="18" customWidth="1" min="7" max="7"/>
  </cols>
  <sheetData>
    <row r="1">
      <c r="A1" s="17" t="inlineStr">
        <is>
          <t>SWIGGY FY24 MONTHLY BUSINESS REVIEW (MBR)</t>
        </is>
      </c>
    </row>
    <row r="2"/>
    <row r="3"/>
    <row r="4">
      <c r="A4" s="18" t="inlineStr">
        <is>
          <t>Month</t>
        </is>
      </c>
      <c r="B4" s="18" t="inlineStr">
        <is>
          <t>Delivered Orders</t>
        </is>
      </c>
      <c r="C4" s="18" t="inlineStr">
        <is>
          <t>Gross GMV (₹)</t>
        </is>
      </c>
      <c r="D4" s="18" t="inlineStr">
        <is>
          <t>AOV (₹)</t>
        </is>
      </c>
      <c r="E4" s="18" t="inlineStr">
        <is>
          <t>Total Discounts (₹)</t>
        </is>
      </c>
      <c r="F4" s="18" t="inlineStr">
        <is>
          <t>Avg Delivery Time</t>
        </is>
      </c>
      <c r="G4" s="18" t="inlineStr">
        <is>
          <t>MoM Growth %</t>
        </is>
      </c>
    </row>
    <row r="5">
      <c r="A5" s="12" t="inlineStr">
        <is>
          <t>2024-01</t>
        </is>
      </c>
      <c r="B5" s="13" t="n">
        <v>1089</v>
      </c>
      <c r="C5" s="14" t="n">
        <v>676427</v>
      </c>
      <c r="D5" s="15" t="n">
        <v>621.1</v>
      </c>
      <c r="E5" s="14" t="n">
        <v>42824</v>
      </c>
      <c r="F5" s="16" t="n">
        <v>31.6</v>
      </c>
      <c r="G5" s="19" t="inlineStr">
        <is>
          <t>-</t>
        </is>
      </c>
    </row>
    <row r="6">
      <c r="A6" s="7" t="inlineStr">
        <is>
          <t>2024-02</t>
        </is>
      </c>
      <c r="B6" s="8" t="n">
        <v>991</v>
      </c>
      <c r="C6" s="9" t="n">
        <v>595772</v>
      </c>
      <c r="D6" s="10" t="n">
        <v>601.2</v>
      </c>
      <c r="E6" s="9" t="n">
        <v>39907</v>
      </c>
      <c r="F6" s="11" t="n">
        <v>32.2</v>
      </c>
      <c r="G6" s="20">
        <f>(C6-C5)/C5</f>
        <v/>
      </c>
    </row>
    <row r="7">
      <c r="A7" s="12" t="inlineStr">
        <is>
          <t>2024-03</t>
        </is>
      </c>
      <c r="B7" s="13" t="n">
        <v>1104</v>
      </c>
      <c r="C7" s="14" t="n">
        <v>673710</v>
      </c>
      <c r="D7" s="15" t="n">
        <v>610.2</v>
      </c>
      <c r="E7" s="14" t="n">
        <v>46779</v>
      </c>
      <c r="F7" s="16" t="n">
        <v>32.1</v>
      </c>
      <c r="G7" s="21">
        <f>(C7-C6)/C6</f>
        <v/>
      </c>
    </row>
    <row r="8">
      <c r="A8" s="7" t="inlineStr">
        <is>
          <t>2024-04</t>
        </is>
      </c>
      <c r="B8" s="8" t="n">
        <v>1218</v>
      </c>
      <c r="C8" s="9" t="n">
        <v>758748</v>
      </c>
      <c r="D8" s="10" t="n">
        <v>622.9</v>
      </c>
      <c r="E8" s="9" t="n">
        <v>48723</v>
      </c>
      <c r="F8" s="11" t="n">
        <v>32</v>
      </c>
      <c r="G8" s="20">
        <f>(C8-C7)/C7</f>
        <v/>
      </c>
    </row>
    <row r="9">
      <c r="A9" s="12" t="inlineStr">
        <is>
          <t>2024-05</t>
        </is>
      </c>
      <c r="B9" s="13" t="n">
        <v>1337</v>
      </c>
      <c r="C9" s="14" t="n">
        <v>820560</v>
      </c>
      <c r="D9" s="15" t="n">
        <v>613.7</v>
      </c>
      <c r="E9" s="14" t="n">
        <v>55941</v>
      </c>
      <c r="F9" s="16" t="n">
        <v>31.8</v>
      </c>
      <c r="G9" s="21">
        <f>(C9-C8)/C8</f>
        <v/>
      </c>
    </row>
    <row r="10">
      <c r="A10" s="7" t="inlineStr">
        <is>
          <t>2024-06</t>
        </is>
      </c>
      <c r="B10" s="8" t="n">
        <v>1036</v>
      </c>
      <c r="C10" s="9" t="n">
        <v>628586</v>
      </c>
      <c r="D10" s="10" t="n">
        <v>606.7</v>
      </c>
      <c r="E10" s="9" t="n">
        <v>40183</v>
      </c>
      <c r="F10" s="11" t="n">
        <v>31.9</v>
      </c>
      <c r="G10" s="20">
        <f>(C10-C9)/C9</f>
        <v/>
      </c>
    </row>
    <row r="11">
      <c r="A11" s="12" t="inlineStr">
        <is>
          <t>2024-07</t>
        </is>
      </c>
      <c r="B11" s="13" t="n">
        <v>1108</v>
      </c>
      <c r="C11" s="14" t="n">
        <v>688861</v>
      </c>
      <c r="D11" s="15" t="n">
        <v>621.7</v>
      </c>
      <c r="E11" s="14" t="n">
        <v>44025</v>
      </c>
      <c r="F11" s="16" t="n">
        <v>38</v>
      </c>
      <c r="G11" s="21">
        <f>(C11-C10)/C10</f>
        <v/>
      </c>
    </row>
    <row r="12">
      <c r="A12" s="7" t="inlineStr">
        <is>
          <t>2024-08</t>
        </is>
      </c>
      <c r="B12" s="8" t="n">
        <v>1053</v>
      </c>
      <c r="C12" s="9" t="n">
        <v>637498</v>
      </c>
      <c r="D12" s="10" t="n">
        <v>605.4</v>
      </c>
      <c r="E12" s="9" t="n">
        <v>40904</v>
      </c>
      <c r="F12" s="11" t="n">
        <v>38.1</v>
      </c>
      <c r="G12" s="20">
        <f>(C12-C11)/C11</f>
        <v/>
      </c>
    </row>
    <row r="13">
      <c r="A13" s="12" t="inlineStr">
        <is>
          <t>2024-09</t>
        </is>
      </c>
      <c r="B13" s="13" t="n">
        <v>1208</v>
      </c>
      <c r="C13" s="14" t="n">
        <v>736006</v>
      </c>
      <c r="D13" s="15" t="n">
        <v>609.3</v>
      </c>
      <c r="E13" s="14" t="n">
        <v>47415</v>
      </c>
      <c r="F13" s="16" t="n">
        <v>32</v>
      </c>
      <c r="G13" s="21">
        <f>(C13-C12)/C12</f>
        <v/>
      </c>
    </row>
    <row r="14">
      <c r="A14" s="7" t="inlineStr">
        <is>
          <t>2024-10</t>
        </is>
      </c>
      <c r="B14" s="8" t="n">
        <v>1376</v>
      </c>
      <c r="C14" s="9" t="n">
        <v>834155</v>
      </c>
      <c r="D14" s="10" t="n">
        <v>606.2</v>
      </c>
      <c r="E14" s="9" t="n">
        <v>56509</v>
      </c>
      <c r="F14" s="11" t="n">
        <v>32</v>
      </c>
      <c r="G14" s="20">
        <f>(C14-C13)/C13</f>
        <v/>
      </c>
    </row>
    <row r="15">
      <c r="A15" s="12" t="inlineStr">
        <is>
          <t>2024-11</t>
        </is>
      </c>
      <c r="B15" s="13" t="n">
        <v>1347</v>
      </c>
      <c r="C15" s="14" t="n">
        <v>817723</v>
      </c>
      <c r="D15" s="15" t="n">
        <v>607.1</v>
      </c>
      <c r="E15" s="14" t="n">
        <v>54622</v>
      </c>
      <c r="F15" s="16" t="n">
        <v>32.1</v>
      </c>
      <c r="G15" s="21">
        <f>(C15-C14)/C14</f>
        <v/>
      </c>
    </row>
    <row r="16">
      <c r="A16" s="7" t="inlineStr">
        <is>
          <t>2024-12</t>
        </is>
      </c>
      <c r="B16" s="8" t="n">
        <v>1306</v>
      </c>
      <c r="C16" s="9" t="n">
        <v>779934</v>
      </c>
      <c r="D16" s="10" t="n">
        <v>597.2</v>
      </c>
      <c r="E16" s="9" t="n">
        <v>49978</v>
      </c>
      <c r="F16" s="11" t="n">
        <v>31.9</v>
      </c>
      <c r="G16" s="20">
        <f>(C16-C15)/C15</f>
        <v/>
      </c>
    </row>
    <row r="17">
      <c r="A17" s="22" t="inlineStr">
        <is>
          <t>Full Year Total</t>
        </is>
      </c>
      <c r="B17" s="23">
        <f>SUM(B5:B16)</f>
        <v/>
      </c>
      <c r="C17" s="24">
        <f>SUM(C5:C16)</f>
        <v/>
      </c>
      <c r="D17" s="25">
        <f>AVERAGE(D5:D16)</f>
        <v/>
      </c>
      <c r="E17" s="24">
        <f>SUM(E5:E16)</f>
        <v/>
      </c>
      <c r="F17" s="26">
        <f>AVERAGE(F5:F16)</f>
        <v/>
      </c>
      <c r="G17" s="27" t="inlineStr">
        <is>
          <t>-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4" customWidth="1" min="3" max="3"/>
    <col width="55" customWidth="1" min="4" max="4"/>
    <col width="12" customWidth="1" min="5" max="5"/>
    <col width="12" customWidth="1" min="6" max="6"/>
  </cols>
  <sheetData>
    <row r="1">
      <c r="A1" s="1" t="inlineStr">
        <is>
          <t>SWIGGY MARKETPLACE TAKE-RATE &amp; UNIT ECONOMICS MODEL</t>
        </is>
      </c>
    </row>
    <row r="2"/>
    <row r="3"/>
    <row r="4">
      <c r="A4" s="5" t="inlineStr">
        <is>
          <t>Revenue &amp; Cost Drivers (Unit Economics)</t>
        </is>
      </c>
    </row>
    <row r="5">
      <c r="A5" s="6" t="inlineStr">
        <is>
          <t>P&amp;L Line Item</t>
        </is>
      </c>
      <c r="B5" s="6" t="inlineStr">
        <is>
          <t>Annual Value (₹)</t>
        </is>
      </c>
      <c r="C5" s="6" t="inlineStr">
        <is>
          <t>% of GMV</t>
        </is>
      </c>
      <c r="D5" s="6" t="inlineStr">
        <is>
          <t>Business Explanation</t>
        </is>
      </c>
    </row>
    <row r="6">
      <c r="A6" s="28" t="inlineStr">
        <is>
          <t>Total Food GMV (Gross Sales)</t>
        </is>
      </c>
      <c r="B6" s="28" t="inlineStr">
        <is>
          <t>₹ 8,647,980</t>
        </is>
      </c>
      <c r="C6" s="19" t="inlineStr">
        <is>
          <t>100.0%</t>
        </is>
      </c>
      <c r="D6" s="29" t="inlineStr">
        <is>
          <t>Total marketplace gross merchandise value</t>
        </is>
      </c>
    </row>
    <row r="7">
      <c r="A7" s="28" t="inlineStr">
        <is>
          <t>(-) Restaurant Payout (Food Cost)</t>
        </is>
      </c>
      <c r="B7" s="28" t="inlineStr">
        <is>
          <t>₹ 6,831,904</t>
        </is>
      </c>
      <c r="C7" s="19" t="inlineStr">
        <is>
          <t>79.0%</t>
        </is>
      </c>
      <c r="D7" s="29" t="inlineStr">
        <is>
          <t>Amount paid to restaurant partners (avg 79%)</t>
        </is>
      </c>
    </row>
    <row r="8">
      <c r="A8" s="30" t="inlineStr">
        <is>
          <t>(=) Swiggy Restaurant Commission (Take Rate)</t>
        </is>
      </c>
      <c r="B8" s="30" t="inlineStr">
        <is>
          <t>₹ 1,816,076</t>
        </is>
      </c>
      <c r="C8" s="31" t="inlineStr">
        <is>
          <t>21.0%</t>
        </is>
      </c>
      <c r="D8" s="32" t="inlineStr">
        <is>
          <t>Blended 21% commission earned by Swiggy</t>
        </is>
      </c>
    </row>
    <row r="9">
      <c r="A9" s="28" t="inlineStr">
        <is>
          <t>(+) Delivery Fees Collected from Customers</t>
        </is>
      </c>
      <c r="B9" s="28" t="inlineStr">
        <is>
          <t>₹ 375,230</t>
        </is>
      </c>
      <c r="C9" s="19" t="inlineStr">
        <is>
          <t>4.3%</t>
        </is>
      </c>
      <c r="D9" s="29" t="inlineStr">
        <is>
          <t>Customer delivery charges (₹0 for Swiggy One)</t>
        </is>
      </c>
    </row>
    <row r="10">
      <c r="A10" s="28" t="inlineStr">
        <is>
          <t>(-) Delivery Partner Payouts</t>
        </is>
      </c>
      <c r="B10" s="28" t="inlineStr">
        <is>
          <t>₹ 595,266</t>
        </is>
      </c>
      <c r="C10" s="19" t="inlineStr">
        <is>
          <t>6.9%</t>
        </is>
      </c>
      <c r="D10" s="29" t="inlineStr">
        <is>
          <t>Rider compensation (avg ₹42 per delivery trip)</t>
        </is>
      </c>
    </row>
    <row r="11">
      <c r="A11" s="28" t="inlineStr">
        <is>
          <t>(-) Platform Subsidized Discounts</t>
        </is>
      </c>
      <c r="B11" s="28" t="inlineStr">
        <is>
          <t>₹ 567,810</t>
        </is>
      </c>
      <c r="C11" s="19" t="inlineStr">
        <is>
          <t>6.6%</t>
        </is>
      </c>
      <c r="D11" s="29" t="inlineStr">
        <is>
          <t>Promotions &amp; Swiggy One membership discounts</t>
        </is>
      </c>
    </row>
    <row r="12">
      <c r="A12" s="30" t="inlineStr">
        <is>
          <t>(=) Net Platform Contribution Margin</t>
        </is>
      </c>
      <c r="B12" s="30" t="inlineStr">
        <is>
          <t>₹ 1,028,230</t>
        </is>
      </c>
      <c r="C12" s="31" t="inlineStr">
        <is>
          <t>Calculated</t>
        </is>
      </c>
      <c r="D12" s="32" t="inlineStr">
        <is>
          <t>Net cash margin retained before corporate overheads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2026-09-14T10:19:43Z</dcterms:created>
  <dcterms:modified xmlns:dcterms="http://purl.org/dc/terms/" xmlns:xsi="http://www.w3.org/2001/XMLSchema-instance" xsi:type="dcterms:W3CDTF">2026-09-14T10:19:43Z</dcterms:modified>
</cp:coreProperties>
</file>